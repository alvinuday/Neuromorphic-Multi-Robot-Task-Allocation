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Params" sheetId="1" state="visible" r:id="rId1"/>
    <sheet name="InertiaMatrix" sheetId="2" state="visible" r:id="rId2"/>
    <sheet name="GravityTorques" sheetId="3" state="visible" r:id="rId3"/>
    <sheet name="MRTA_Mapping" sheetId="4" state="visible" r:id="rId4"/>
    <sheet name="SNN_Dynamics" sheetId="5" state="visible" r:id="rId5"/>
    <sheet name="SpikeCounts" sheetId="6" state="visible" r:id="rId6"/>
    <sheet name="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7F6000"/>
      <sz val="9"/>
    </font>
    <font>
      <b val="1"/>
      <color rgb="00FFFFFF"/>
      <sz val="11"/>
    </font>
    <font>
      <name val="Calibri"/>
      <b val="1"/>
      <color rgb="00FFFFFF"/>
      <sz val="10"/>
    </font>
    <font>
      <b val="1"/>
      <sz val="10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pivotButton="0" quotePrefix="0" xfId="0"/>
    <xf numFmtId="0" fontId="5" fillId="5" borderId="0" applyAlignment="1" pivotButton="0" quotePrefix="0" xfId="0">
      <alignment horizontal="center"/>
    </xf>
    <xf numFmtId="0" fontId="3" fillId="4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7" fillId="3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8" fillId="6" borderId="0" pivotButton="0" quotePrefix="0" xfId="0"/>
    <xf numFmtId="0" fontId="3" fillId="6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50" customWidth="1" min="4" max="4"/>
  </cols>
  <sheetData>
    <row r="1">
      <c r="A1" s="1" t="inlineStr">
        <is>
          <t>2-DOF Planar Robot Arm — Physical Parameters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Description</t>
        </is>
      </c>
    </row>
    <row r="4">
      <c r="A4" s="3" t="inlineStr">
        <is>
          <t>l1</t>
        </is>
      </c>
      <c r="B4" s="3" t="n">
        <v>0.5</v>
      </c>
      <c r="C4" s="3" t="inlineStr">
        <is>
          <t>m</t>
        </is>
      </c>
      <c r="D4" s="3" t="inlineStr">
        <is>
          <t>Length of link 1</t>
        </is>
      </c>
    </row>
    <row r="5">
      <c r="A5" s="4" t="inlineStr">
        <is>
          <t>l2</t>
        </is>
      </c>
      <c r="B5" s="4" t="n">
        <v>0.5</v>
      </c>
      <c r="C5" s="4" t="inlineStr">
        <is>
          <t>m</t>
        </is>
      </c>
      <c r="D5" s="4" t="inlineStr">
        <is>
          <t>Length of link 2</t>
        </is>
      </c>
    </row>
    <row r="6">
      <c r="A6" s="3" t="inlineStr">
        <is>
          <t>m1</t>
        </is>
      </c>
      <c r="B6" s="3" t="n">
        <v>1</v>
      </c>
      <c r="C6" s="3" t="inlineStr">
        <is>
          <t>kg</t>
        </is>
      </c>
      <c r="D6" s="3" t="inlineStr">
        <is>
          <t>Mass of link 1</t>
        </is>
      </c>
    </row>
    <row r="7">
      <c r="A7" s="4" t="inlineStr">
        <is>
          <t>m2</t>
        </is>
      </c>
      <c r="B7" s="4" t="n">
        <v>1</v>
      </c>
      <c r="C7" s="4" t="inlineStr">
        <is>
          <t>kg</t>
        </is>
      </c>
      <c r="D7" s="4" t="inlineStr">
        <is>
          <t>Mass of link 2</t>
        </is>
      </c>
    </row>
    <row r="8">
      <c r="A8" s="3" t="inlineStr">
        <is>
          <t>g</t>
        </is>
      </c>
      <c r="B8" s="3" t="n">
        <v>9.81</v>
      </c>
      <c r="C8" s="3" t="inlineStr">
        <is>
          <t>m/s^2</t>
        </is>
      </c>
      <c r="D8" s="3" t="inlineStr">
        <is>
          <t>Gravitational acceleration</t>
        </is>
      </c>
    </row>
    <row r="9">
      <c r="A9" s="4" t="inlineStr">
        <is>
          <t>I1 = m1*l1^2/12</t>
        </is>
      </c>
      <c r="B9" s="4" t="n">
        <v>0.02083333333333333</v>
      </c>
      <c r="C9" s="4" t="inlineStr">
        <is>
          <t>kg*m^2</t>
        </is>
      </c>
      <c r="D9" s="4" t="inlineStr">
        <is>
          <t>Moment of inertia, link 1 about its CoM</t>
        </is>
      </c>
    </row>
    <row r="10">
      <c r="A10" s="3" t="inlineStr">
        <is>
          <t>I2 = m2*l2^2/12</t>
        </is>
      </c>
      <c r="B10" s="3" t="n">
        <v>0.02083333333333333</v>
      </c>
      <c r="C10" s="3" t="inlineStr">
        <is>
          <t>kg*m^2</t>
        </is>
      </c>
      <c r="D10" s="3" t="inlineStr">
        <is>
          <t>Moment of inertia, link 2 about its CoM</t>
        </is>
      </c>
    </row>
    <row r="11">
      <c r="A11" s="4" t="inlineStr">
        <is>
          <t>V_th (LIF threshold)</t>
        </is>
      </c>
      <c r="B11" s="4" t="n">
        <v>1</v>
      </c>
      <c r="C11" s="4" t="inlineStr">
        <is>
          <t>V</t>
        </is>
      </c>
      <c r="D11" s="4" t="inlineStr">
        <is>
          <t>LIF neuron firing threshold</t>
        </is>
      </c>
    </row>
    <row r="12">
      <c r="A12" s="3" t="inlineStr">
        <is>
          <t>tau (membrane)</t>
        </is>
      </c>
      <c r="B12" s="3" t="n">
        <v>20</v>
      </c>
      <c r="C12" s="3" t="inlineStr">
        <is>
          <t>ms</t>
        </is>
      </c>
      <c r="D12" s="3" t="inlineStr">
        <is>
          <t>LIF membrane time constant</t>
        </is>
      </c>
    </row>
    <row r="13">
      <c r="A13" s="4" t="inlineStr">
        <is>
          <t>tau_ref</t>
        </is>
      </c>
      <c r="B13" s="4" t="n">
        <v>2</v>
      </c>
      <c r="C13" s="4" t="inlineStr">
        <is>
          <t>ms</t>
        </is>
      </c>
      <c r="D13" s="4" t="inlineStr">
        <is>
          <t>LIF refractory period</t>
        </is>
      </c>
    </row>
    <row r="14">
      <c r="A14" s="3" t="inlineStr">
        <is>
          <t>R (membrane resistance)</t>
        </is>
      </c>
      <c r="B14" s="3" t="n">
        <v>1</v>
      </c>
      <c r="C14" s="3" t="inlineStr">
        <is>
          <t>MOhm</t>
        </is>
      </c>
      <c r="D14" s="3" t="inlineStr">
        <is>
          <t>LIF membrane resistance</t>
        </is>
      </c>
    </row>
    <row r="15">
      <c r="A15" s="4" t="inlineStr">
        <is>
          <t>lambda (QUBO penalty)</t>
        </is>
      </c>
      <c r="B15" s="4" t="n">
        <v>8</v>
      </c>
      <c r="C15" s="4" t="inlineStr"/>
      <c r="D15" s="4" t="inlineStr">
        <is>
          <t>Conflict penalty coefficient</t>
        </is>
      </c>
    </row>
    <row r="17">
      <c r="A17" s="5" t="inlineStr">
        <is>
          <t>Note: I = ml^2/12 is moment of inertia of uniform rod about its center of mass (parallel-axis theorem then gives the full matrix entries). The thesis shorthand 'I=ml^2/3' refers to moment about the proximal joint end.</t>
        </is>
      </c>
    </row>
  </sheetData>
  <mergeCells count="2">
    <mergeCell ref="A1:D1"/>
    <mergeCell ref="A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Inertia Matrix M(theta) — Step-by-Step Computation at 3 Configurations</t>
        </is>
      </c>
    </row>
    <row r="3">
      <c r="A3" s="6" t="inlineStr">
        <is>
          <t>theta=[0, 0]</t>
        </is>
      </c>
    </row>
    <row r="4">
      <c r="A4" s="7" t="inlineStr">
        <is>
          <t>theta1 (rad)</t>
        </is>
      </c>
      <c r="B4" s="7" t="n">
        <v>0</v>
      </c>
      <c r="C4" s="7" t="inlineStr">
        <is>
          <t>theta2 (rad)</t>
        </is>
      </c>
      <c r="D4" s="7" t="n">
        <v>0</v>
      </c>
      <c r="E4" s="7" t="inlineStr">
        <is>
          <t>cos(theta2)</t>
        </is>
      </c>
      <c r="F4" s="7" t="n">
        <v>1</v>
      </c>
    </row>
    <row r="5">
      <c r="A5" s="8" t="inlineStr">
        <is>
          <t>Element</t>
        </is>
      </c>
      <c r="B5" s="8" t="inlineStr">
        <is>
          <t>Formula</t>
        </is>
      </c>
      <c r="C5" s="8" t="inlineStr">
        <is>
          <t>Substituted</t>
        </is>
      </c>
      <c r="D5" s="8" t="inlineStr">
        <is>
          <t>Value</t>
        </is>
      </c>
      <c r="E5" t="inlineStr"/>
      <c r="F5" t="inlineStr"/>
      <c r="G5" t="inlineStr"/>
    </row>
    <row r="6">
      <c r="A6" s="9" t="inlineStr">
        <is>
          <t>M11</t>
        </is>
      </c>
      <c r="B6" s="10" t="inlineStr">
        <is>
          <t>I1 + m1*(l1/2)^2 + I2 + m2*(l1^2 + l1*l2*cos(t2) + (l2/2)^2)</t>
        </is>
      </c>
      <c r="C6" s="10" t="inlineStr">
        <is>
          <t>0.02083 + 0.06250 + 0.02083 + 0.56250</t>
        </is>
      </c>
      <c r="D6" s="11" t="n">
        <v>0.6667</v>
      </c>
    </row>
    <row r="7">
      <c r="A7" s="12" t="inlineStr">
        <is>
          <t>M12</t>
        </is>
      </c>
      <c r="B7" s="13" t="inlineStr">
        <is>
          <t>I2 + m2*(l2/2)*(l1*cos(t2) + l2/2)</t>
        </is>
      </c>
      <c r="C7" s="13" t="inlineStr">
        <is>
          <t>0.02083 + 0.18750</t>
        </is>
      </c>
      <c r="D7" s="11" t="n">
        <v>0.2083</v>
      </c>
    </row>
    <row r="8">
      <c r="A8" s="9" t="inlineStr">
        <is>
          <t>M21</t>
        </is>
      </c>
      <c r="B8" s="10">
        <f> M12 (symmetric)</f>
        <v/>
      </c>
      <c r="C8" s="10" t="inlineStr">
        <is>
          <t>0.2083</t>
        </is>
      </c>
      <c r="D8" s="11" t="n">
        <v>0.2083</v>
      </c>
    </row>
    <row r="9">
      <c r="A9" s="12" t="inlineStr">
        <is>
          <t>M22</t>
        </is>
      </c>
      <c r="B9" s="13" t="inlineStr">
        <is>
          <t>I2 + m2*(l2/2)^2</t>
        </is>
      </c>
      <c r="C9" s="13" t="inlineStr">
        <is>
          <t>0.02083 + 0.06250</t>
        </is>
      </c>
      <c r="D9" s="11" t="n">
        <v>0.0833</v>
      </c>
    </row>
    <row r="10">
      <c r="A10" s="14" t="inlineStr">
        <is>
          <t>M(theta) =</t>
        </is>
      </c>
      <c r="B10" s="15" t="inlineStr">
        <is>
          <t>[[0.6667, 0.2083], [0.2083, 0.0833]]</t>
        </is>
      </c>
    </row>
    <row r="12">
      <c r="A12" s="6" t="inlineStr">
        <is>
          <t>theta=[pi/4, pi/4]</t>
        </is>
      </c>
    </row>
    <row r="13">
      <c r="A13" s="7" t="inlineStr">
        <is>
          <t>theta1 (rad)</t>
        </is>
      </c>
      <c r="B13" s="7" t="n">
        <v>0.7854</v>
      </c>
      <c r="C13" s="7" t="inlineStr">
        <is>
          <t>theta2 (rad)</t>
        </is>
      </c>
      <c r="D13" s="7" t="n">
        <v>0.7854</v>
      </c>
      <c r="E13" s="7" t="inlineStr">
        <is>
          <t>cos(theta2)</t>
        </is>
      </c>
      <c r="F13" s="7" t="n">
        <v>0.707107</v>
      </c>
    </row>
    <row r="14">
      <c r="A14" s="8" t="inlineStr">
        <is>
          <t>Element</t>
        </is>
      </c>
      <c r="B14" s="8" t="inlineStr">
        <is>
          <t>Formula</t>
        </is>
      </c>
      <c r="C14" s="8" t="inlineStr">
        <is>
          <t>Substituted</t>
        </is>
      </c>
      <c r="D14" s="8" t="inlineStr">
        <is>
          <t>Value</t>
        </is>
      </c>
      <c r="E14" t="inlineStr"/>
      <c r="F14" t="inlineStr"/>
      <c r="G14" t="inlineStr"/>
    </row>
    <row r="15">
      <c r="A15" s="9" t="inlineStr">
        <is>
          <t>M11</t>
        </is>
      </c>
      <c r="B15" s="10" t="inlineStr">
        <is>
          <t>I1 + m1*(l1/2)^2 + I2 + m2*(l1^2 + l1*l2*cos(t2) + (l2/2)^2)</t>
        </is>
      </c>
      <c r="C15" s="10" t="inlineStr">
        <is>
          <t>0.02083 + 0.06250 + 0.02083 + 0.48928</t>
        </is>
      </c>
      <c r="D15" s="11" t="n">
        <v>0.5934</v>
      </c>
    </row>
    <row r="16">
      <c r="A16" s="12" t="inlineStr">
        <is>
          <t>M12</t>
        </is>
      </c>
      <c r="B16" s="13" t="inlineStr">
        <is>
          <t>I2 + m2*(l2/2)*(l1*cos(t2) + l2/2)</t>
        </is>
      </c>
      <c r="C16" s="13" t="inlineStr">
        <is>
          <t>0.02083 + 0.15089</t>
        </is>
      </c>
      <c r="D16" s="11" t="n">
        <v>0.1717</v>
      </c>
    </row>
    <row r="17">
      <c r="A17" s="9" t="inlineStr">
        <is>
          <t>M21</t>
        </is>
      </c>
      <c r="B17" s="10">
        <f> M12 (symmetric)</f>
        <v/>
      </c>
      <c r="C17" s="10" t="inlineStr">
        <is>
          <t>0.1717</t>
        </is>
      </c>
      <c r="D17" s="11" t="n">
        <v>0.1717</v>
      </c>
    </row>
    <row r="18">
      <c r="A18" s="12" t="inlineStr">
        <is>
          <t>M22</t>
        </is>
      </c>
      <c r="B18" s="13" t="inlineStr">
        <is>
          <t>I2 + m2*(l2/2)^2</t>
        </is>
      </c>
      <c r="C18" s="13" t="inlineStr">
        <is>
          <t>0.02083 + 0.06250</t>
        </is>
      </c>
      <c r="D18" s="11" t="n">
        <v>0.0833</v>
      </c>
    </row>
    <row r="19">
      <c r="A19" s="14" t="inlineStr">
        <is>
          <t>M(theta) =</t>
        </is>
      </c>
      <c r="B19" s="15" t="inlineStr">
        <is>
          <t>[[0.5934, 0.1717], [0.1717, 0.0833]]</t>
        </is>
      </c>
    </row>
    <row r="21">
      <c r="A21" s="6" t="inlineStr">
        <is>
          <t>theta=[pi/2, 0]</t>
        </is>
      </c>
    </row>
    <row r="22">
      <c r="A22" s="7" t="inlineStr">
        <is>
          <t>theta1 (rad)</t>
        </is>
      </c>
      <c r="B22" s="7" t="n">
        <v>1.5708</v>
      </c>
      <c r="C22" s="7" t="inlineStr">
        <is>
          <t>theta2 (rad)</t>
        </is>
      </c>
      <c r="D22" s="7" t="n">
        <v>0</v>
      </c>
      <c r="E22" s="7" t="inlineStr">
        <is>
          <t>cos(theta2)</t>
        </is>
      </c>
      <c r="F22" s="7" t="n">
        <v>1</v>
      </c>
    </row>
    <row r="23">
      <c r="A23" s="8" t="inlineStr">
        <is>
          <t>Element</t>
        </is>
      </c>
      <c r="B23" s="8" t="inlineStr">
        <is>
          <t>Formula</t>
        </is>
      </c>
      <c r="C23" s="8" t="inlineStr">
        <is>
          <t>Substituted</t>
        </is>
      </c>
      <c r="D23" s="8" t="inlineStr">
        <is>
          <t>Value</t>
        </is>
      </c>
      <c r="E23" t="inlineStr"/>
      <c r="F23" t="inlineStr"/>
      <c r="G23" t="inlineStr"/>
    </row>
    <row r="24">
      <c r="A24" s="9" t="inlineStr">
        <is>
          <t>M11</t>
        </is>
      </c>
      <c r="B24" s="10" t="inlineStr">
        <is>
          <t>I1 + m1*(l1/2)^2 + I2 + m2*(l1^2 + l1*l2*cos(t2) + (l2/2)^2)</t>
        </is>
      </c>
      <c r="C24" s="10" t="inlineStr">
        <is>
          <t>0.02083 + 0.06250 + 0.02083 + 0.56250</t>
        </is>
      </c>
      <c r="D24" s="11" t="n">
        <v>0.6667</v>
      </c>
    </row>
    <row r="25">
      <c r="A25" s="12" t="inlineStr">
        <is>
          <t>M12</t>
        </is>
      </c>
      <c r="B25" s="13" t="inlineStr">
        <is>
          <t>I2 + m2*(l2/2)*(l1*cos(t2) + l2/2)</t>
        </is>
      </c>
      <c r="C25" s="13" t="inlineStr">
        <is>
          <t>0.02083 + 0.18750</t>
        </is>
      </c>
      <c r="D25" s="11" t="n">
        <v>0.2083</v>
      </c>
    </row>
    <row r="26">
      <c r="A26" s="9" t="inlineStr">
        <is>
          <t>M21</t>
        </is>
      </c>
      <c r="B26" s="10">
        <f> M12 (symmetric)</f>
        <v/>
      </c>
      <c r="C26" s="10" t="inlineStr">
        <is>
          <t>0.2083</t>
        </is>
      </c>
      <c r="D26" s="11" t="n">
        <v>0.2083</v>
      </c>
    </row>
    <row r="27">
      <c r="A27" s="12" t="inlineStr">
        <is>
          <t>M22</t>
        </is>
      </c>
      <c r="B27" s="13" t="inlineStr">
        <is>
          <t>I2 + m2*(l2/2)^2</t>
        </is>
      </c>
      <c r="C27" s="13" t="inlineStr">
        <is>
          <t>0.02083 + 0.06250</t>
        </is>
      </c>
      <c r="D27" s="11" t="n">
        <v>0.0833</v>
      </c>
    </row>
    <row r="28">
      <c r="A28" s="14" t="inlineStr">
        <is>
          <t>M(theta) =</t>
        </is>
      </c>
      <c r="B28" s="15" t="inlineStr">
        <is>
          <t>[[0.6667, 0.2083], [0.2083, 0.0833]]</t>
        </is>
      </c>
    </row>
  </sheetData>
  <mergeCells count="7">
    <mergeCell ref="B19:G19"/>
    <mergeCell ref="B10:G10"/>
    <mergeCell ref="A1:G1"/>
    <mergeCell ref="B28:G28"/>
    <mergeCell ref="A3:G3"/>
    <mergeCell ref="A21:G2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5" customWidth="1" min="4" max="4"/>
    <col width="12" customWidth="1" min="5" max="5"/>
    <col width="45" customWidth="1" min="6" max="6"/>
    <col width="12" customWidth="1" min="7" max="7"/>
  </cols>
  <sheetData>
    <row r="1">
      <c r="A1" s="1" t="inlineStr">
        <is>
          <t>Gravity Torques G(theta) — Computation at 3 Configurations</t>
        </is>
      </c>
    </row>
    <row r="3">
      <c r="A3" s="2" t="inlineStr">
        <is>
          <t>Config</t>
        </is>
      </c>
      <c r="B3" s="2" t="inlineStr">
        <is>
          <t>theta1</t>
        </is>
      </c>
      <c r="C3" s="2" t="inlineStr">
        <is>
          <t>theta2</t>
        </is>
      </c>
      <c r="D3" s="2" t="inlineStr">
        <is>
          <t>G1 formula</t>
        </is>
      </c>
      <c r="E3" s="2" t="inlineStr">
        <is>
          <t>G1 value</t>
        </is>
      </c>
      <c r="F3" s="2" t="inlineStr">
        <is>
          <t>G2 formula</t>
        </is>
      </c>
      <c r="G3" s="2" t="inlineStr">
        <is>
          <t>G2 value</t>
        </is>
      </c>
    </row>
    <row r="4">
      <c r="A4" s="3" t="inlineStr">
        <is>
          <t>theta=[0, 0]</t>
        </is>
      </c>
      <c r="B4" s="3" t="n">
        <v>0</v>
      </c>
      <c r="C4" s="3" t="n">
        <v>0</v>
      </c>
      <c r="D4" s="3" t="inlineStr">
        <is>
          <t>(m1*l1/2 + m2*l1)*g*sin(0.0000) + m2*(l2/2)*g*sin(0.0000)</t>
        </is>
      </c>
      <c r="E4" s="16" t="n">
        <v>0</v>
      </c>
      <c r="F4" s="3" t="inlineStr">
        <is>
          <t>m2*(l2/2)*g*sin(0.0000)</t>
        </is>
      </c>
      <c r="G4" s="16" t="n">
        <v>0</v>
      </c>
    </row>
    <row r="5">
      <c r="A5" s="4" t="inlineStr">
        <is>
          <t>theta=[pi/4, pi/4]</t>
        </is>
      </c>
      <c r="B5" s="4" t="n">
        <v>0.7854</v>
      </c>
      <c r="C5" s="4" t="n">
        <v>0.7854</v>
      </c>
      <c r="D5" s="4" t="inlineStr">
        <is>
          <t>(m1*l1/2 + m2*l1)*g*sin(0.7854) + m2*(l2/2)*g*sin(1.5708)</t>
        </is>
      </c>
      <c r="E5" s="16" t="n">
        <v>7.655</v>
      </c>
      <c r="F5" s="4" t="inlineStr">
        <is>
          <t>m2*(l2/2)*g*sin(1.5708)</t>
        </is>
      </c>
      <c r="G5" s="16" t="n">
        <v>2.4525</v>
      </c>
    </row>
    <row r="6">
      <c r="A6" s="3" t="inlineStr">
        <is>
          <t>theta=[pi/2, 0]</t>
        </is>
      </c>
      <c r="B6" s="3" t="n">
        <v>1.5708</v>
      </c>
      <c r="C6" s="3" t="n">
        <v>0</v>
      </c>
      <c r="D6" s="3" t="inlineStr">
        <is>
          <t>(m1*l1/2 + m2*l1)*g*sin(1.5708) + m2*(l2/2)*g*sin(1.5708)</t>
        </is>
      </c>
      <c r="E6" s="16" t="n">
        <v>9.81</v>
      </c>
      <c r="F6" s="3" t="inlineStr">
        <is>
          <t>m2*(l2/2)*g*sin(1.5708)</t>
        </is>
      </c>
      <c r="G6" s="16" t="n">
        <v>2.4525</v>
      </c>
    </row>
    <row r="8">
      <c r="A8" s="5" t="inlineStr">
        <is>
          <t>G1 = (m1*l1/2 + m2*l1)*g*sin(theta1) + m2*(l2/2)*g*sin(theta1+theta2)   G2 = m2*(l2/2)*g*sin(theta1+theta2)</t>
        </is>
      </c>
    </row>
  </sheetData>
  <mergeCells count="2">
    <mergeCell ref="A8:G8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8" customWidth="1" min="4" max="4"/>
    <col width="60" customWidth="1" min="5" max="5"/>
    <col width="10" customWidth="1" min="6" max="6"/>
    <col width="12" customWidth="1" min="7" max="7"/>
  </cols>
  <sheetData>
    <row r="1">
      <c r="A1" s="1" t="inlineStr">
        <is>
          <t>MRTA to SNN Mapping: Each Coalition Node = LIF Neuron</t>
        </is>
      </c>
    </row>
    <row r="2">
      <c r="A2" s="5" t="inlineStr">
        <is>
          <t>Each coalition node i maps to neuron i. External drive I_ext_i = utility_i. Inhibitory weight W_ij = -2.0 for conflict edges. Winning allocation = neurons with highest spike count forming independent set.</t>
        </is>
      </c>
    </row>
    <row r="4">
      <c r="A4" s="2" t="inlineStr">
        <is>
          <t>Neuron#</t>
        </is>
      </c>
      <c r="B4" s="2" t="inlineStr">
        <is>
          <t>Coalition Label</t>
        </is>
      </c>
      <c r="C4" s="2" t="inlineStr">
        <is>
          <t>Task</t>
        </is>
      </c>
      <c r="D4" s="2" t="inlineStr">
        <is>
          <t>Utility (I_ext)</t>
        </is>
      </c>
      <c r="E4" s="2" t="inlineStr">
        <is>
          <t>Connections (conflict)</t>
        </is>
      </c>
      <c r="F4" s="2" t="inlineStr">
        <is>
          <t>W_ij</t>
        </is>
      </c>
      <c r="G4" s="2" t="inlineStr">
        <is>
          <t>Role</t>
        </is>
      </c>
    </row>
    <row r="5">
      <c r="A5" s="3" t="n">
        <v>0</v>
      </c>
      <c r="B5" s="3" t="inlineStr">
        <is>
          <t>{r3}-&gt;t1</t>
        </is>
      </c>
      <c r="C5" s="3" t="inlineStr">
        <is>
          <t>t1</t>
        </is>
      </c>
      <c r="D5" s="3" t="n">
        <v>5.2094</v>
      </c>
      <c r="E5" s="3" t="inlineStr">
        <is>
          <t>['{r1,r2}-&gt;t1', '{r1,r3}-&gt;t1', '{r2,r3}-&gt;t1', '{r1,r3}-&gt;t2']</t>
        </is>
      </c>
      <c r="F5" s="3" t="n">
        <v>-2</v>
      </c>
      <c r="G5" s="16" t="inlineStr">
        <is>
          <t>Optimal</t>
        </is>
      </c>
    </row>
    <row r="6">
      <c r="A6" s="4" t="n">
        <v>1</v>
      </c>
      <c r="B6" s="4" t="inlineStr">
        <is>
          <t>{r1,r2}-&gt;t1</t>
        </is>
      </c>
      <c r="C6" s="4" t="inlineStr">
        <is>
          <t>t1</t>
        </is>
      </c>
      <c r="D6" s="4" t="n">
        <v>2.5858</v>
      </c>
      <c r="E6" s="4" t="inlineStr">
        <is>
          <t>['{r3}-&gt;t1', '{r1,r3}-&gt;t1', '{r2,r3}-&gt;t1', '{r1}-&gt;t2', '{r1,r2}-&gt;t2', '{r1,r3}-&gt;t2']</t>
        </is>
      </c>
      <c r="F6" s="4" t="n">
        <v>-2</v>
      </c>
      <c r="G6" s="4" t="inlineStr">
        <is>
          <t>Suboptimal</t>
        </is>
      </c>
    </row>
    <row r="7">
      <c r="A7" s="3" t="n">
        <v>2</v>
      </c>
      <c r="B7" s="3" t="inlineStr">
        <is>
          <t>{r1,r3}-&gt;t1</t>
        </is>
      </c>
      <c r="C7" s="3" t="inlineStr">
        <is>
          <t>t1</t>
        </is>
      </c>
      <c r="D7" s="3" t="n">
        <v>2.1487</v>
      </c>
      <c r="E7" s="3" t="inlineStr">
        <is>
          <t>['{r3}-&gt;t1', '{r1,r2}-&gt;t1', '{r2,r3}-&gt;t1', '{r1}-&gt;t2', '{r1,r2}-&gt;t2', '{r1,r3}-&gt;t2']</t>
        </is>
      </c>
      <c r="F7" s="3" t="n">
        <v>-2</v>
      </c>
      <c r="G7" s="3" t="inlineStr">
        <is>
          <t>Suboptimal</t>
        </is>
      </c>
    </row>
    <row r="8">
      <c r="A8" s="4" t="n">
        <v>3</v>
      </c>
      <c r="B8" s="4" t="inlineStr">
        <is>
          <t>{r2,r3}-&gt;t1</t>
        </is>
      </c>
      <c r="C8" s="4" t="inlineStr">
        <is>
          <t>t1</t>
        </is>
      </c>
      <c r="D8" s="4" t="n">
        <v>2.1487</v>
      </c>
      <c r="E8" s="4" t="inlineStr">
        <is>
          <t>['{r3}-&gt;t1', '{r1,r2}-&gt;t1', '{r1,r3}-&gt;t1', '{r1,r2}-&gt;t2', '{r1,r3}-&gt;t2']</t>
        </is>
      </c>
      <c r="F8" s="4" t="n">
        <v>-2</v>
      </c>
      <c r="G8" s="4" t="inlineStr">
        <is>
          <t>Suboptimal</t>
        </is>
      </c>
    </row>
    <row r="9">
      <c r="A9" s="3" t="n">
        <v>4</v>
      </c>
      <c r="B9" s="3" t="inlineStr">
        <is>
          <t>{r1}-&gt;t2</t>
        </is>
      </c>
      <c r="C9" s="3" t="inlineStr">
        <is>
          <t>t2</t>
        </is>
      </c>
      <c r="D9" s="3" t="n">
        <v>3.9692</v>
      </c>
      <c r="E9" s="3" t="inlineStr">
        <is>
          <t>['{r1,r2}-&gt;t1', '{r1,r3}-&gt;t1', '{r1,r2}-&gt;t2', '{r1,r3}-&gt;t2']</t>
        </is>
      </c>
      <c r="F9" s="3" t="n">
        <v>-2</v>
      </c>
      <c r="G9" s="16" t="inlineStr">
        <is>
          <t>Optimal</t>
        </is>
      </c>
    </row>
    <row r="10">
      <c r="A10" s="4" t="n">
        <v>5</v>
      </c>
      <c r="B10" s="4" t="inlineStr">
        <is>
          <t>{r1,r2}-&gt;t2</t>
        </is>
      </c>
      <c r="C10" s="4" t="inlineStr">
        <is>
          <t>t2</t>
        </is>
      </c>
      <c r="D10" s="4" t="n">
        <v>1.1543</v>
      </c>
      <c r="E10" s="4" t="inlineStr">
        <is>
          <t>['{r1,r2}-&gt;t1', '{r1,r3}-&gt;t1', '{r2,r3}-&gt;t1', '{r1}-&gt;t2', '{r1,r3}-&gt;t2']</t>
        </is>
      </c>
      <c r="F10" s="4" t="n">
        <v>-2</v>
      </c>
      <c r="G10" s="4" t="inlineStr">
        <is>
          <t>Suboptimal</t>
        </is>
      </c>
    </row>
    <row r="11">
      <c r="A11" s="3" t="n">
        <v>6</v>
      </c>
      <c r="B11" s="3" t="inlineStr">
        <is>
          <t>{r1,r3}-&gt;t2</t>
        </is>
      </c>
      <c r="C11" s="3" t="inlineStr">
        <is>
          <t>t2</t>
        </is>
      </c>
      <c r="D11" s="3" t="n">
        <v>1.4633</v>
      </c>
      <c r="E11" s="3" t="inlineStr">
        <is>
          <t>['{r3}-&gt;t1', '{r1,r2}-&gt;t1', '{r1,r3}-&gt;t1', '{r2,r3}-&gt;t1', '{r1}-&gt;t2', '{r1,r2}-&gt;t2']</t>
        </is>
      </c>
      <c r="F11" s="3" t="n">
        <v>-2</v>
      </c>
      <c r="G11" s="3" t="inlineStr">
        <is>
          <t>Suboptimal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50" customWidth="1" min="10" max="10"/>
    <col width="14" customWidth="1" min="11" max="11"/>
  </cols>
  <sheetData>
    <row r="1">
      <c r="A1" s="1" t="inlineStr">
        <is>
          <t>SNN LIF Dynamics — Voltage Traces for All 7 Neurons (200ms simulation)</t>
        </is>
      </c>
    </row>
    <row r="3">
      <c r="A3" s="2" t="inlineStr">
        <is>
          <t>t (ms)</t>
        </is>
      </c>
      <c r="B3" s="2" t="inlineStr">
        <is>
          <t>V0 ({r3}-&gt;t1)</t>
        </is>
      </c>
      <c r="C3" s="2" t="inlineStr">
        <is>
          <t>V1 ({r1,r2}-&gt;t1)</t>
        </is>
      </c>
      <c r="D3" s="2" t="inlineStr">
        <is>
          <t>V2 ({r1,r3}-&gt;t1)</t>
        </is>
      </c>
      <c r="E3" s="2" t="inlineStr">
        <is>
          <t>V3 ({r2,r3}-&gt;t1)</t>
        </is>
      </c>
      <c r="F3" s="2" t="inlineStr">
        <is>
          <t>V4 ({r1}-&gt;t2)</t>
        </is>
      </c>
      <c r="G3" s="2" t="inlineStr">
        <is>
          <t>V5 ({r1,r2}-&gt;t2)</t>
        </is>
      </c>
      <c r="H3" s="2" t="inlineStr">
        <is>
          <t>V6 ({r1,r3}-&gt;t2)</t>
        </is>
      </c>
    </row>
    <row r="4">
      <c r="A4" s="3" t="n">
        <v>0</v>
      </c>
      <c r="B4" s="3" t="n">
        <v>0.026</v>
      </c>
      <c r="C4" s="3" t="n">
        <v>0.0129</v>
      </c>
      <c r="D4" s="3" t="n">
        <v>0.0107</v>
      </c>
      <c r="E4" s="3" t="n">
        <v>0.0109</v>
      </c>
      <c r="F4" s="3" t="n">
        <v>0.0198</v>
      </c>
      <c r="G4" s="3" t="n">
        <v>0.0054</v>
      </c>
      <c r="H4" s="3" t="n">
        <v>0.0074</v>
      </c>
    </row>
    <row r="5">
      <c r="A5" s="4" t="n">
        <v>5</v>
      </c>
      <c r="B5" s="4" t="n">
        <v>0</v>
      </c>
      <c r="C5" s="4" t="n">
        <v>0.575</v>
      </c>
      <c r="D5" s="4" t="n">
        <v>0.4779</v>
      </c>
      <c r="E5" s="4" t="n">
        <v>0.4765</v>
      </c>
      <c r="F5" s="4" t="n">
        <v>0.8972</v>
      </c>
      <c r="G5" s="4" t="n">
        <v>0.2582</v>
      </c>
      <c r="H5" s="4" t="n">
        <v>0.321</v>
      </c>
    </row>
    <row r="6">
      <c r="A6" s="3" t="n">
        <v>10</v>
      </c>
      <c r="B6" s="3" t="n">
        <v>0.8915999999999999</v>
      </c>
      <c r="C6" s="3" t="n">
        <v>0</v>
      </c>
      <c r="D6" s="3" t="n">
        <v>0.8268</v>
      </c>
      <c r="E6" s="3" t="n">
        <v>0.837</v>
      </c>
      <c r="F6" s="3" t="n">
        <v>0.4224</v>
      </c>
      <c r="G6" s="3" t="n">
        <v>0.4403</v>
      </c>
      <c r="H6" s="3" t="n">
        <v>0.5543</v>
      </c>
    </row>
    <row r="7">
      <c r="A7" s="4" t="n">
        <v>15</v>
      </c>
      <c r="B7" s="4" t="n">
        <v>0.572</v>
      </c>
      <c r="C7" s="4" t="n">
        <v>0.3457</v>
      </c>
      <c r="D7" s="4" t="n">
        <v>0</v>
      </c>
      <c r="E7" s="4" t="n">
        <v>0.0109</v>
      </c>
      <c r="F7" s="4" t="n">
        <v>0</v>
      </c>
      <c r="G7" s="4" t="n">
        <v>0.5713</v>
      </c>
      <c r="H7" s="4" t="n">
        <v>0.7185</v>
      </c>
    </row>
    <row r="8">
      <c r="A8" s="3" t="n">
        <v>20</v>
      </c>
      <c r="B8" s="3" t="n">
        <v>0.2551</v>
      </c>
      <c r="C8" s="3" t="n">
        <v>0.8318</v>
      </c>
      <c r="D8" s="3" t="n">
        <v>0.4492</v>
      </c>
      <c r="E8" s="3" t="n">
        <v>0.4755</v>
      </c>
      <c r="F8" s="3" t="n">
        <v>0.7705</v>
      </c>
      <c r="G8" s="3" t="n">
        <v>0.7012</v>
      </c>
      <c r="H8" s="3" t="n">
        <v>0.8773</v>
      </c>
    </row>
    <row r="9">
      <c r="A9" s="4" t="n">
        <v>25</v>
      </c>
      <c r="B9" s="4" t="n">
        <v>0</v>
      </c>
      <c r="C9" s="4" t="n">
        <v>0.101</v>
      </c>
      <c r="D9" s="4" t="n">
        <v>0.7992</v>
      </c>
      <c r="E9" s="4" t="n">
        <v>0.8280999999999999</v>
      </c>
      <c r="F9" s="4" t="n">
        <v>0.2883</v>
      </c>
      <c r="G9" s="4" t="n">
        <v>0.7843</v>
      </c>
      <c r="H9" s="4" t="n">
        <v>0.9845</v>
      </c>
    </row>
    <row r="10">
      <c r="A10" s="3" t="n">
        <v>30</v>
      </c>
      <c r="B10" s="3" t="n">
        <v>0</v>
      </c>
      <c r="C10" s="3" t="n">
        <v>0.6057</v>
      </c>
      <c r="D10" s="3" t="n">
        <v>0</v>
      </c>
      <c r="E10" s="3" t="n">
        <v>0</v>
      </c>
      <c r="F10" s="3" t="n">
        <v>0</v>
      </c>
      <c r="G10" s="3" t="n">
        <v>0.8299</v>
      </c>
      <c r="H10" s="3" t="n">
        <v>0.1148</v>
      </c>
    </row>
    <row r="11">
      <c r="A11" s="4" t="n">
        <v>35</v>
      </c>
      <c r="B11" s="4" t="n">
        <v>0.7854</v>
      </c>
      <c r="C11" s="4" t="n">
        <v>0</v>
      </c>
      <c r="D11" s="4" t="n">
        <v>0.4159</v>
      </c>
      <c r="E11" s="4" t="n">
        <v>0.4643</v>
      </c>
      <c r="F11" s="4" t="n">
        <v>0.6419</v>
      </c>
      <c r="G11" s="4" t="n">
        <v>0.8905</v>
      </c>
      <c r="H11" s="4" t="n">
        <v>0.4069</v>
      </c>
    </row>
    <row r="12">
      <c r="A12" s="3" t="n">
        <v>40</v>
      </c>
      <c r="B12" s="3" t="n">
        <v>0.4972</v>
      </c>
      <c r="C12" s="3" t="n">
        <v>0.4084</v>
      </c>
      <c r="D12" s="3" t="n">
        <v>0.7813</v>
      </c>
      <c r="E12" s="3" t="n">
        <v>0.8266</v>
      </c>
      <c r="F12" s="3" t="n">
        <v>0.137</v>
      </c>
      <c r="G12" s="3" t="n">
        <v>0.9398</v>
      </c>
      <c r="H12" s="3" t="n">
        <v>0.6238</v>
      </c>
    </row>
    <row r="13">
      <c r="A13" s="4" t="n">
        <v>45</v>
      </c>
      <c r="B13" s="4" t="n">
        <v>0.1794</v>
      </c>
      <c r="C13" s="4" t="n">
        <v>0.8628</v>
      </c>
      <c r="D13" s="4" t="n">
        <v>0</v>
      </c>
      <c r="E13" s="4" t="n">
        <v>0</v>
      </c>
      <c r="F13" s="4" t="n">
        <v>0.976</v>
      </c>
      <c r="G13" s="4" t="n">
        <v>0.966</v>
      </c>
      <c r="H13" s="4" t="n">
        <v>0.7821</v>
      </c>
    </row>
    <row r="14">
      <c r="A14" s="3" t="n">
        <v>50</v>
      </c>
      <c r="B14" s="3" t="n">
        <v>0</v>
      </c>
      <c r="C14" s="3" t="n">
        <v>0.151</v>
      </c>
      <c r="D14" s="3" t="n">
        <v>0.3871</v>
      </c>
      <c r="E14" s="3" t="n">
        <v>0.459</v>
      </c>
      <c r="F14" s="3" t="n">
        <v>0.5209</v>
      </c>
      <c r="G14" s="3" t="n">
        <v>0.991</v>
      </c>
      <c r="H14" s="3" t="n">
        <v>0.9064</v>
      </c>
    </row>
    <row r="15">
      <c r="A15" s="4" t="n">
        <v>55</v>
      </c>
      <c r="B15" s="4" t="n">
        <v>0</v>
      </c>
      <c r="C15" s="4" t="n">
        <v>0.6657</v>
      </c>
      <c r="D15" s="4" t="n">
        <v>0.7527</v>
      </c>
      <c r="E15" s="4" t="n">
        <v>0.8157</v>
      </c>
      <c r="F15" s="4" t="n">
        <v>0</v>
      </c>
      <c r="G15" s="4" t="n">
        <v>0.08799999999999999</v>
      </c>
      <c r="H15" s="4" t="n">
        <v>0</v>
      </c>
    </row>
    <row r="16">
      <c r="A16" s="3" t="n">
        <v>60</v>
      </c>
      <c r="B16" s="3" t="n">
        <v>0.6983</v>
      </c>
      <c r="C16" s="3" t="n">
        <v>0</v>
      </c>
      <c r="D16" s="3" t="n">
        <v>0</v>
      </c>
      <c r="E16" s="3" t="n">
        <v>0</v>
      </c>
      <c r="F16" s="3" t="n">
        <v>0.8475</v>
      </c>
      <c r="G16" s="3" t="n">
        <v>0.2973</v>
      </c>
      <c r="H16" s="3" t="n">
        <v>0.2129</v>
      </c>
    </row>
    <row r="17">
      <c r="A17" s="4" t="n">
        <v>65</v>
      </c>
      <c r="B17" s="4" t="n">
        <v>0.4023</v>
      </c>
      <c r="C17" s="4" t="n">
        <v>0.4523</v>
      </c>
      <c r="D17" s="4" t="n">
        <v>0.345</v>
      </c>
      <c r="E17" s="4" t="n">
        <v>0.451</v>
      </c>
      <c r="F17" s="4" t="n">
        <v>0.3796</v>
      </c>
      <c r="G17" s="4" t="n">
        <v>0.4802</v>
      </c>
      <c r="H17" s="4" t="n">
        <v>0.4723</v>
      </c>
    </row>
    <row r="18">
      <c r="A18" s="3" t="n">
        <v>70</v>
      </c>
      <c r="B18" s="3" t="n">
        <v>0.0772</v>
      </c>
      <c r="C18" s="3" t="n">
        <v>0.9076</v>
      </c>
      <c r="D18" s="3" t="n">
        <v>0.7248</v>
      </c>
      <c r="E18" s="3" t="n">
        <v>0.8148</v>
      </c>
      <c r="F18" s="3" t="n">
        <v>0</v>
      </c>
      <c r="G18" s="3" t="n">
        <v>0.6185</v>
      </c>
      <c r="H18" s="3" t="n">
        <v>0.6761</v>
      </c>
    </row>
    <row r="19">
      <c r="A19" s="4" t="n">
        <v>75</v>
      </c>
      <c r="B19" s="4" t="n">
        <v>0</v>
      </c>
      <c r="C19" s="4" t="n">
        <v>0.1947</v>
      </c>
      <c r="D19" s="4" t="n">
        <v>0</v>
      </c>
      <c r="E19" s="4" t="n">
        <v>0</v>
      </c>
      <c r="F19" s="4" t="n">
        <v>0.7368</v>
      </c>
      <c r="G19" s="4" t="n">
        <v>0.7103</v>
      </c>
      <c r="H19" s="4" t="n">
        <v>0.8129</v>
      </c>
    </row>
    <row r="20">
      <c r="A20" s="3" t="n">
        <v>80</v>
      </c>
      <c r="B20" s="3" t="n">
        <v>0.9245</v>
      </c>
      <c r="C20" s="3" t="n">
        <v>0.7119</v>
      </c>
      <c r="D20" s="3" t="n">
        <v>0.3166</v>
      </c>
      <c r="E20" s="3" t="n">
        <v>0.4613</v>
      </c>
      <c r="F20" s="3" t="n">
        <v>0.2524</v>
      </c>
      <c r="G20" s="3" t="n">
        <v>0.8013</v>
      </c>
      <c r="H20" s="3" t="n">
        <v>0.95</v>
      </c>
    </row>
    <row r="21">
      <c r="A21" s="4" t="n">
        <v>85</v>
      </c>
      <c r="B21" s="4" t="n">
        <v>0.6186</v>
      </c>
      <c r="C21" s="4" t="n">
        <v>0</v>
      </c>
      <c r="D21" s="4" t="n">
        <v>0.6862</v>
      </c>
      <c r="E21" s="4" t="n">
        <v>0.8105</v>
      </c>
      <c r="F21" s="4" t="n">
        <v>0</v>
      </c>
      <c r="G21" s="4" t="n">
        <v>0.8507</v>
      </c>
      <c r="H21" s="4" t="n">
        <v>0.033</v>
      </c>
    </row>
    <row r="22">
      <c r="A22" s="3" t="n">
        <v>90</v>
      </c>
      <c r="B22" s="3" t="n">
        <v>0.3059</v>
      </c>
      <c r="C22" s="3" t="n">
        <v>0.495</v>
      </c>
      <c r="D22" s="3" t="n">
        <v>0.9913999999999999</v>
      </c>
      <c r="E22" s="3" t="n">
        <v>0</v>
      </c>
      <c r="F22" s="3" t="n">
        <v>0.6034</v>
      </c>
      <c r="G22" s="3" t="n">
        <v>0.9103</v>
      </c>
      <c r="H22" s="3" t="n">
        <v>0.3326</v>
      </c>
    </row>
    <row r="23">
      <c r="A23" s="4" t="n">
        <v>95</v>
      </c>
      <c r="B23" s="4" t="n">
        <v>0</v>
      </c>
      <c r="C23" s="4" t="n">
        <v>0.9339</v>
      </c>
      <c r="D23" s="4" t="n">
        <v>0.2644</v>
      </c>
      <c r="E23" s="4" t="n">
        <v>0.4448</v>
      </c>
      <c r="F23" s="4" t="n">
        <v>0.0785</v>
      </c>
      <c r="G23" s="4" t="n">
        <v>0.9485</v>
      </c>
      <c r="H23" s="4" t="n">
        <v>0.556</v>
      </c>
    </row>
    <row r="24">
      <c r="A24" s="3" t="n">
        <v>100</v>
      </c>
      <c r="B24" s="3" t="n">
        <v>0</v>
      </c>
      <c r="C24" s="3" t="n">
        <v>0.2495</v>
      </c>
      <c r="D24" s="3" t="n">
        <v>0.6625</v>
      </c>
      <c r="E24" s="3" t="n">
        <v>0.8057</v>
      </c>
      <c r="F24" s="3" t="n">
        <v>0.9324</v>
      </c>
      <c r="G24" s="3" t="n">
        <v>0.9861</v>
      </c>
      <c r="H24" s="3" t="n">
        <v>0.7385</v>
      </c>
    </row>
    <row r="26">
      <c r="A26" s="17" t="inlineStr">
        <is>
          <t>Spike Times per Neuron</t>
        </is>
      </c>
    </row>
    <row r="27">
      <c r="A27" s="2" t="inlineStr">
        <is>
          <t>Neuron#</t>
        </is>
      </c>
      <c r="B27" s="2" t="inlineStr">
        <is>
          <t>Label</t>
        </is>
      </c>
      <c r="C27" s="2" t="inlineStr">
        <is>
          <t>Spike Times (ms)</t>
        </is>
      </c>
      <c r="D27" s="2" t="inlineStr">
        <is>
          <t>Spike Count</t>
        </is>
      </c>
    </row>
    <row r="28">
      <c r="A28" s="3" t="n">
        <v>0</v>
      </c>
      <c r="B28" s="3" t="inlineStr">
        <is>
          <t>{r3}-&gt;t1</t>
        </is>
      </c>
      <c r="C28" s="3" t="inlineStr">
        <is>
          <t>[4.2, 10.6, 17.0, 23.3, 29.7, 36.0, 42.3, 48.6, 55.0, 61.4, 67.7, 74.1, 80.4, 86.8, 93.1, 99.4, 105.8, 112.2, 118.6, 125.0]</t>
        </is>
      </c>
      <c r="D28" s="16" t="n">
        <v>31</v>
      </c>
    </row>
    <row r="29">
      <c r="A29" s="4" t="n">
        <v>1</v>
      </c>
      <c r="B29" s="4" t="inlineStr">
        <is>
          <t>{r1,r2}-&gt;t1</t>
        </is>
      </c>
      <c r="C29" s="4" t="inlineStr">
        <is>
          <t>[9.9, 22.2, 34.5, 46.8, 59.1, 71.2, 83.6, 95.9, 108.3, 120.6, 132.8, 145.1, 157.7, 170.1, 182.3, 194.4]</t>
        </is>
      </c>
      <c r="D29" s="4" t="n">
        <v>16</v>
      </c>
    </row>
    <row r="30">
      <c r="A30" s="3" t="n">
        <v>2</v>
      </c>
      <c r="B30" s="3" t="inlineStr">
        <is>
          <t>{r1,r3}-&gt;t1</t>
        </is>
      </c>
      <c r="C30" s="3" t="inlineStr">
        <is>
          <t>[13.2, 28.6, 43.8, 59.4, 74.8, 90.2, 105.6, 121.1, 136.4, 151.8, 167.2, 182.8, 198.2]</t>
        </is>
      </c>
      <c r="D30" s="3" t="n">
        <v>13</v>
      </c>
    </row>
    <row r="31">
      <c r="A31" s="4" t="n">
        <v>3</v>
      </c>
      <c r="B31" s="4" t="inlineStr">
        <is>
          <t>{r2,r3}-&gt;t1</t>
        </is>
      </c>
      <c r="C31" s="4" t="inlineStr">
        <is>
          <t>[12.9, 28.0, 43.0, 58.2, 73.2, 88.3, 103.3, 118.3, 133.5, 148.6, 163.7, 178.8, 193.7]</t>
        </is>
      </c>
      <c r="D31" s="4" t="n">
        <v>13</v>
      </c>
    </row>
    <row r="32">
      <c r="A32" s="3" t="n">
        <v>4</v>
      </c>
      <c r="B32" s="3" t="inlineStr">
        <is>
          <t>{r1}-&gt;t2</t>
        </is>
      </c>
      <c r="C32" s="3" t="inlineStr">
        <is>
          <t>[5.7, 13.7, 21.5, 29.4, 37.3, 45.2, 53.1, 61.0, 68.8, 76.7, 84.7, 92.6, 100.5, 108.5, 116.4, 124.3, 132.1, 140.1, 148.0, 155.9]</t>
        </is>
      </c>
      <c r="D32" s="16" t="n">
        <v>25</v>
      </c>
    </row>
    <row r="33">
      <c r="A33" s="4" t="n">
        <v>5</v>
      </c>
      <c r="B33" s="4" t="inlineStr">
        <is>
          <t>{r1,r2}-&gt;t2</t>
        </is>
      </c>
      <c r="C33" s="4" t="inlineStr">
        <is>
          <t>[51.2, 102.7, 157.2]</t>
        </is>
      </c>
      <c r="D33" s="4" t="n">
        <v>3</v>
      </c>
    </row>
    <row r="34">
      <c r="A34" s="3" t="n">
        <v>6</v>
      </c>
      <c r="B34" s="3" t="inlineStr">
        <is>
          <t>{r1,r3}-&gt;t2</t>
        </is>
      </c>
      <c r="C34" s="3" t="inlineStr">
        <is>
          <t>[25.8, 54.4, 82.4, 111.2, 139.7, 168.2, 196.9]</t>
        </is>
      </c>
      <c r="D34" s="3" t="n">
        <v>7</v>
      </c>
    </row>
  </sheetData>
  <mergeCells count="2">
    <mergeCell ref="A1:J1"/>
    <mergeCell ref="A26:J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SNN Spike Counts and Final Allocation</t>
        </is>
      </c>
    </row>
    <row r="3">
      <c r="A3" s="2" t="inlineStr">
        <is>
          <t>Neuron#</t>
        </is>
      </c>
      <c r="B3" s="2" t="inlineStr">
        <is>
          <t>Label</t>
        </is>
      </c>
      <c r="C3" s="2" t="inlineStr">
        <is>
          <t>Utility (I_ext)</t>
        </is>
      </c>
      <c r="D3" s="2" t="inlineStr">
        <is>
          <t>Spike Count</t>
        </is>
      </c>
      <c r="E3" s="2" t="inlineStr">
        <is>
          <t>Selected?</t>
        </is>
      </c>
      <c r="F3" s="2" t="inlineStr">
        <is>
          <t>In Optimal?</t>
        </is>
      </c>
    </row>
    <row r="4">
      <c r="A4" s="16" t="n">
        <v>0</v>
      </c>
      <c r="B4" s="16" t="inlineStr">
        <is>
          <t>{r3}-&gt;t1</t>
        </is>
      </c>
      <c r="C4" s="16" t="n">
        <v>5.2094</v>
      </c>
      <c r="D4" s="16" t="n">
        <v>31</v>
      </c>
      <c r="E4" s="16" t="inlineStr">
        <is>
          <t>YES</t>
        </is>
      </c>
      <c r="F4" s="16" t="inlineStr">
        <is>
          <t>YES</t>
        </is>
      </c>
    </row>
    <row r="5">
      <c r="A5" s="4" t="n">
        <v>1</v>
      </c>
      <c r="B5" s="4" t="inlineStr">
        <is>
          <t>{r1,r2}-&gt;t1</t>
        </is>
      </c>
      <c r="C5" s="4" t="n">
        <v>2.5858</v>
      </c>
      <c r="D5" s="4" t="n">
        <v>16</v>
      </c>
      <c r="E5" s="4" t="inlineStr">
        <is>
          <t>no</t>
        </is>
      </c>
      <c r="F5" s="4" t="inlineStr">
        <is>
          <t>no</t>
        </is>
      </c>
    </row>
    <row r="6">
      <c r="A6" s="3" t="n">
        <v>2</v>
      </c>
      <c r="B6" s="3" t="inlineStr">
        <is>
          <t>{r1,r3}-&gt;t1</t>
        </is>
      </c>
      <c r="C6" s="3" t="n">
        <v>2.1487</v>
      </c>
      <c r="D6" s="3" t="n">
        <v>13</v>
      </c>
      <c r="E6" s="3" t="inlineStr">
        <is>
          <t>no</t>
        </is>
      </c>
      <c r="F6" s="3" t="inlineStr">
        <is>
          <t>no</t>
        </is>
      </c>
    </row>
    <row r="7">
      <c r="A7" s="4" t="n">
        <v>3</v>
      </c>
      <c r="B7" s="4" t="inlineStr">
        <is>
          <t>{r2,r3}-&gt;t1</t>
        </is>
      </c>
      <c r="C7" s="4" t="n">
        <v>2.1487</v>
      </c>
      <c r="D7" s="4" t="n">
        <v>13</v>
      </c>
      <c r="E7" s="4" t="inlineStr">
        <is>
          <t>no</t>
        </is>
      </c>
      <c r="F7" s="4" t="inlineStr">
        <is>
          <t>no</t>
        </is>
      </c>
    </row>
    <row r="8">
      <c r="A8" s="16" t="n">
        <v>4</v>
      </c>
      <c r="B8" s="16" t="inlineStr">
        <is>
          <t>{r1}-&gt;t2</t>
        </is>
      </c>
      <c r="C8" s="16" t="n">
        <v>3.9692</v>
      </c>
      <c r="D8" s="16" t="n">
        <v>25</v>
      </c>
      <c r="E8" s="16" t="inlineStr">
        <is>
          <t>YES</t>
        </is>
      </c>
      <c r="F8" s="16" t="inlineStr">
        <is>
          <t>YES</t>
        </is>
      </c>
    </row>
    <row r="9">
      <c r="A9" s="4" t="n">
        <v>5</v>
      </c>
      <c r="B9" s="4" t="inlineStr">
        <is>
          <t>{r1,r2}-&gt;t2</t>
        </is>
      </c>
      <c r="C9" s="4" t="n">
        <v>1.1543</v>
      </c>
      <c r="D9" s="4" t="n">
        <v>3</v>
      </c>
      <c r="E9" s="4" t="inlineStr">
        <is>
          <t>no</t>
        </is>
      </c>
      <c r="F9" s="4" t="inlineStr">
        <is>
          <t>no</t>
        </is>
      </c>
    </row>
    <row r="10">
      <c r="A10" s="3" t="n">
        <v>6</v>
      </c>
      <c r="B10" s="3" t="inlineStr">
        <is>
          <t>{r1,r3}-&gt;t2</t>
        </is>
      </c>
      <c r="C10" s="3" t="n">
        <v>1.4633</v>
      </c>
      <c r="D10" s="3" t="n">
        <v>7</v>
      </c>
      <c r="E10" s="3" t="inlineStr">
        <is>
          <t>no</t>
        </is>
      </c>
      <c r="F10" s="3" t="inlineStr">
        <is>
          <t>no</t>
        </is>
      </c>
    </row>
    <row r="12">
      <c r="A12" s="15" t="inlineStr">
        <is>
          <t>SNN Result</t>
        </is>
      </c>
      <c r="B12" s="15" t="inlineStr">
        <is>
          <t>['{r3}-&gt;t1', '{r1}-&gt;t2']</t>
        </is>
      </c>
      <c r="C12" s="15" t="inlineStr">
        <is>
          <t>Utility = 9.1787</t>
        </is>
      </c>
      <c r="D12" s="15" t="inlineStr">
        <is>
          <t>Feasible = True</t>
        </is>
      </c>
      <c r="E12" s="15" t="inlineStr">
        <is>
          <t>Runtime = 298.53 ms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2" customWidth="1" min="3" max="3"/>
    <col width="10" customWidth="1" min="4" max="4"/>
    <col width="16" customWidth="1" min="5" max="5"/>
    <col width="14" customWidth="1" min="6" max="6"/>
  </cols>
  <sheetData>
    <row r="1">
      <c r="A1" s="1" t="inlineStr">
        <is>
          <t>SNN vs OIM Comparison on 3R2T Instance</t>
        </is>
      </c>
    </row>
    <row r="3">
      <c r="A3" s="2" t="inlineStr">
        <is>
          <t>Solver</t>
        </is>
      </c>
      <c r="B3" s="2" t="inlineStr">
        <is>
          <t>Selected Nodes</t>
        </is>
      </c>
      <c r="C3" s="2" t="inlineStr">
        <is>
          <t>Utility</t>
        </is>
      </c>
      <c r="D3" s="2" t="inlineStr">
        <is>
          <t>Feasible</t>
        </is>
      </c>
      <c r="E3" s="2" t="inlineStr">
        <is>
          <t>Runtime (ms)</t>
        </is>
      </c>
      <c r="F3" s="2" t="inlineStr">
        <is>
          <t>Finds Optimal?</t>
        </is>
      </c>
    </row>
    <row r="4">
      <c r="A4" s="4" t="inlineStr">
        <is>
          <t>OIM (Kuramoto)</t>
        </is>
      </c>
      <c r="B4" s="4" t="inlineStr">
        <is>
          <t>[]</t>
        </is>
      </c>
      <c r="C4" s="4" t="n">
        <v>0</v>
      </c>
      <c r="D4" s="4" t="inlineStr">
        <is>
          <t>True</t>
        </is>
      </c>
      <c r="E4" s="4" t="n">
        <v>57.12</v>
      </c>
      <c r="F4" s="4" t="inlineStr">
        <is>
          <t>NO</t>
        </is>
      </c>
    </row>
    <row r="5">
      <c r="A5" s="16" t="inlineStr">
        <is>
          <t>SNN (LIF Neurons)</t>
        </is>
      </c>
      <c r="B5" s="16" t="inlineStr">
        <is>
          <t>['{r3}-&gt;t1', '{r1}-&gt;t2']</t>
        </is>
      </c>
      <c r="C5" s="16" t="n">
        <v>9.178699999999999</v>
      </c>
      <c r="D5" s="16" t="inlineStr">
        <is>
          <t>True</t>
        </is>
      </c>
      <c r="E5" s="16" t="n">
        <v>462.29</v>
      </c>
      <c r="F5" s="16" t="inlineStr">
        <is>
          <t>YES</t>
        </is>
      </c>
    </row>
    <row r="7">
      <c r="A7" s="5" t="inlineStr">
        <is>
          <t>Both OIM and SNN solve the same MWIS/QUBO problem. OIM uses Kuramoto oscillator dynamics (analog physics). SNN uses LIF neuron spiking dynamics (neuromorphic). Optimal = {r3}-&gt;t1 + {r1}-&gt;t2, utility = 9.1787.</t>
        </is>
      </c>
    </row>
  </sheetData>
  <mergeCells count="2"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2026-05-12T12:10:00Z</dcterms:created>
  <dcterms:modified xsi:type="dcterms:W3CDTF">2026-05-12T12:10:01Z</dcterms:modified>
</cp:coreProperties>
</file>